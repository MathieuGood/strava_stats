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mnité km vé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&quot; km&quot;"/>
    <numFmt numFmtId="167" formatCode="0.00&quot; €&quot;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2" fillId="0" borderId="1" pivotButton="0" quotePrefix="0" xfId="0"/>
    <xf numFmtId="0" fontId="2" fillId="0" borderId="1" pivotButton="0" quotePrefix="0" xfId="0"/>
    <xf numFmtId="2" fontId="2" fillId="0" borderId="1" pivotButton="0" quotePrefix="0" xfId="0"/>
    <xf numFmtId="0" fontId="1" fillId="0" borderId="1" applyAlignment="1" pivotButton="0" quotePrefix="0" xfId="0">
      <alignment horizontal="right"/>
    </xf>
    <xf numFmtId="166" fontId="1" fillId="0" borderId="1" pivotButton="0" quotePrefix="0" xfId="0"/>
    <xf numFmtId="16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2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Jour</t>
        </is>
      </c>
      <c r="C1" s="1" t="inlineStr">
        <is>
          <t>Trajet Aller</t>
        </is>
      </c>
      <c r="D1" s="1" t="inlineStr">
        <is>
          <t>Trajet Retour</t>
        </is>
      </c>
      <c r="E1" s="1" t="inlineStr">
        <is>
          <t>Motif</t>
        </is>
      </c>
      <c r="F1" s="1" t="inlineStr">
        <is>
          <t>Distance (km)</t>
        </is>
      </c>
      <c r="G1" s="1" t="inlineStr">
        <is>
          <t>Indemnité/km</t>
        </is>
      </c>
      <c r="H1" s="1" t="inlineStr">
        <is>
          <t>Indemnité (€)</t>
        </is>
      </c>
    </row>
    <row r="2">
      <c r="A2" s="2" t="n">
        <v>46134</v>
      </c>
      <c r="B2" s="3">
        <f>TEXT(A2,"jjjj")</f>
        <v/>
      </c>
      <c r="C2" s="3" t="inlineStr">
        <is>
          <t>Geispolsheim → Strasbourg</t>
        </is>
      </c>
      <c r="D2" s="3" t="inlineStr"/>
      <c r="E2" s="3" t="inlineStr">
        <is>
          <t>Trajet domicile-travail</t>
        </is>
      </c>
      <c r="F2" s="4" t="n">
        <v>9.9</v>
      </c>
      <c r="G2" s="4" t="n">
        <v>0.25</v>
      </c>
      <c r="H2" s="4">
        <f>F2*G2</f>
        <v/>
      </c>
    </row>
    <row r="3">
      <c r="A3" s="2" t="n">
        <v>46140</v>
      </c>
      <c r="B3" s="3">
        <f>TEXT(A3,"jjjj")</f>
        <v/>
      </c>
      <c r="C3" s="3" t="inlineStr">
        <is>
          <t>Geispolsheim → Strasbourg</t>
        </is>
      </c>
      <c r="D3" s="3" t="inlineStr"/>
      <c r="E3" s="3" t="inlineStr">
        <is>
          <t>Trajet domicile-travail</t>
        </is>
      </c>
      <c r="F3" s="4" t="n">
        <v>9.76</v>
      </c>
      <c r="G3" s="4" t="n">
        <v>0.25</v>
      </c>
      <c r="H3" s="4">
        <f>F3*G3</f>
        <v/>
      </c>
    </row>
    <row r="4">
      <c r="A4" s="2" t="n">
        <v>46141</v>
      </c>
      <c r="B4" s="3">
        <f>TEXT(A4,"jjjj")</f>
        <v/>
      </c>
      <c r="C4" s="3" t="inlineStr">
        <is>
          <t>Geispolsheim → Strasbourg</t>
        </is>
      </c>
      <c r="D4" s="3" t="inlineStr"/>
      <c r="E4" s="3" t="inlineStr">
        <is>
          <t>Trajet domicile-travail</t>
        </is>
      </c>
      <c r="F4" s="4" t="n">
        <v>9.66</v>
      </c>
      <c r="G4" s="4" t="n">
        <v>0.25</v>
      </c>
      <c r="H4" s="4">
        <f>F4*G4</f>
        <v/>
      </c>
    </row>
    <row r="5">
      <c r="A5" s="2" t="n">
        <v>46142</v>
      </c>
      <c r="B5" s="3">
        <f>TEXT(A5,"jjjj")</f>
        <v/>
      </c>
      <c r="C5" s="3" t="inlineStr">
        <is>
          <t>Geispolsheim → Strasbourg</t>
        </is>
      </c>
      <c r="D5" s="3" t="inlineStr"/>
      <c r="E5" s="3" t="inlineStr">
        <is>
          <t>Trajet domicile-travail</t>
        </is>
      </c>
      <c r="F5" s="4" t="n">
        <v>9.98</v>
      </c>
      <c r="G5" s="4" t="n">
        <v>0.25</v>
      </c>
      <c r="H5" s="4">
        <f>F5*G5</f>
        <v/>
      </c>
    </row>
    <row r="6">
      <c r="A6" s="2" t="n">
        <v>46147</v>
      </c>
      <c r="B6" s="3">
        <f>TEXT(A6,"jjjj")</f>
        <v/>
      </c>
      <c r="C6" s="3" t="inlineStr">
        <is>
          <t>Geispolsheim → Strasbourg</t>
        </is>
      </c>
      <c r="D6" s="3" t="inlineStr"/>
      <c r="E6" s="3" t="inlineStr">
        <is>
          <t>Trajet domicile-travail</t>
        </is>
      </c>
      <c r="F6" s="4" t="n">
        <v>9.77</v>
      </c>
      <c r="G6" s="4" t="n">
        <v>0.25</v>
      </c>
      <c r="H6" s="4">
        <f>F6*G6</f>
        <v/>
      </c>
    </row>
    <row r="7">
      <c r="A7" s="2" t="n">
        <v>46148</v>
      </c>
      <c r="B7" s="3">
        <f>TEXT(A7,"jjjj")</f>
        <v/>
      </c>
      <c r="C7" s="3" t="inlineStr">
        <is>
          <t>Geispolsheim → Strasbourg</t>
        </is>
      </c>
      <c r="D7" s="3" t="inlineStr"/>
      <c r="E7" s="3" t="inlineStr">
        <is>
          <t>Trajet domicile-travail</t>
        </is>
      </c>
      <c r="F7" s="4" t="n">
        <v>9.640000000000001</v>
      </c>
      <c r="G7" s="4" t="n">
        <v>0.25</v>
      </c>
      <c r="H7" s="4">
        <f>F7*G7</f>
        <v/>
      </c>
    </row>
    <row r="8">
      <c r="A8" s="2" t="n">
        <v>46149</v>
      </c>
      <c r="B8" s="3">
        <f>TEXT(A8,"jjjj")</f>
        <v/>
      </c>
      <c r="C8" s="3" t="inlineStr">
        <is>
          <t>Geispolsheim → Strasbourg</t>
        </is>
      </c>
      <c r="D8" s="3" t="inlineStr"/>
      <c r="E8" s="3" t="inlineStr">
        <is>
          <t>Trajet domicile-travail</t>
        </is>
      </c>
      <c r="F8" s="4" t="n">
        <v>9.57</v>
      </c>
      <c r="G8" s="4" t="n">
        <v>0.25</v>
      </c>
      <c r="H8" s="4">
        <f>F8*G8</f>
        <v/>
      </c>
    </row>
    <row r="9">
      <c r="A9" s="2" t="n">
        <v>46153</v>
      </c>
      <c r="B9" s="3">
        <f>TEXT(A9,"jjjj")</f>
        <v/>
      </c>
      <c r="C9" s="3" t="inlineStr">
        <is>
          <t>Geispolsheim → Strasbourg</t>
        </is>
      </c>
      <c r="D9" s="3" t="inlineStr"/>
      <c r="E9" s="3" t="inlineStr">
        <is>
          <t>Trajet domicile-travail</t>
        </is>
      </c>
      <c r="F9" s="4" t="n">
        <v>9.42</v>
      </c>
      <c r="G9" s="4" t="n">
        <v>0.25</v>
      </c>
      <c r="H9" s="4">
        <f>F9*G9</f>
        <v/>
      </c>
    </row>
    <row r="10">
      <c r="A10" s="2" t="n">
        <v>46154</v>
      </c>
      <c r="B10" s="3">
        <f>TEXT(A10,"jjjj")</f>
        <v/>
      </c>
      <c r="C10" s="3" t="inlineStr">
        <is>
          <t>Geispolsheim → Strasbourg</t>
        </is>
      </c>
      <c r="D10" s="3" t="inlineStr"/>
      <c r="E10" s="3" t="inlineStr">
        <is>
          <t>Trajet domicile-travail</t>
        </is>
      </c>
      <c r="F10" s="4" t="n">
        <v>9.77</v>
      </c>
      <c r="G10" s="4" t="n">
        <v>0.25</v>
      </c>
      <c r="H10" s="4">
        <f>F10*G10</f>
        <v/>
      </c>
    </row>
    <row r="11">
      <c r="A11" s="2" t="n">
        <v>46162</v>
      </c>
      <c r="B11" s="3">
        <f>TEXT(A11,"jjjj")</f>
        <v/>
      </c>
      <c r="C11" s="3" t="inlineStr">
        <is>
          <t>Geispolsheim → Strasbourg</t>
        </is>
      </c>
      <c r="D11" s="3" t="inlineStr"/>
      <c r="E11" s="3" t="inlineStr">
        <is>
          <t>Trajet domicile-travail</t>
        </is>
      </c>
      <c r="F11" s="4" t="n">
        <v>9.93</v>
      </c>
      <c r="G11" s="4" t="n">
        <v>0.25</v>
      </c>
      <c r="H11" s="4">
        <f>F11*G11</f>
        <v/>
      </c>
    </row>
    <row r="12">
      <c r="E12" s="5" t="inlineStr">
        <is>
          <t>TOTAL</t>
        </is>
      </c>
      <c r="F12" s="6">
        <f>SUM(F2:F11)</f>
        <v/>
      </c>
      <c r="H12" s="7">
        <f>SUM(H2:H11)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2026-08-24T21:10:22Z</dcterms:created>
  <dcterms:modified xsi:type="dcterms:W3CDTF">2026-08-24T21:10:22Z</dcterms:modified>
</cp:coreProperties>
</file>